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<sst xmlns="http://schemas.openxmlformats.org/spreadsheetml/2006/main" count="55" uniqueCount="46">
  <si>
    <t>Part Description</t>
  </si>
  <si>
    <t>Manufacturer</t>
  </si>
  <si>
    <t>Manufacturer part Number</t>
  </si>
  <si>
    <t>Vendor</t>
  </si>
  <si>
    <t>Vendor part Number</t>
  </si>
  <si>
    <t>Qty</t>
  </si>
  <si>
    <t>Unit cost</t>
  </si>
  <si>
    <t>Total Cost</t>
  </si>
  <si>
    <t>URL</t>
  </si>
  <si>
    <t>MPU</t>
  </si>
  <si>
    <t>Broadcom</t>
  </si>
  <si>
    <t>BCM4908A0KFEBG</t>
  </si>
  <si>
    <t>Digikey</t>
  </si>
  <si>
    <t>516-BCM4908A0KFEBG-ND</t>
  </si>
  <si>
    <t>storage</t>
  </si>
  <si>
    <t>Micron Technology Inc.</t>
  </si>
  <si>
    <t>MT29F1G08ABAEAWP-IT:E TR</t>
  </si>
  <si>
    <t>557-1658-2-ND</t>
  </si>
  <si>
    <t>RJ45</t>
  </si>
  <si>
    <t>TE connectivity</t>
  </si>
  <si>
    <t>1-1734264-1</t>
  </si>
  <si>
    <t>A130900-ND</t>
  </si>
  <si>
    <t>Switch interface</t>
  </si>
  <si>
    <t>E-Switch</t>
  </si>
  <si>
    <t>RA1113112R</t>
  </si>
  <si>
    <t>EG5619-ND</t>
  </si>
  <si>
    <t>usb interface connector</t>
  </si>
  <si>
    <t>Amphenol ICC (FCI)</t>
  </si>
  <si>
    <t>87583-3010RPLF</t>
  </si>
  <si>
    <t>609-6260-2-ND</t>
  </si>
  <si>
    <t>HDMI/Monitor Output connector</t>
  </si>
  <si>
    <t>10029449-001RLF</t>
  </si>
  <si>
    <t>609-1010-2-ND</t>
  </si>
  <si>
    <t>LED Indicators</t>
  </si>
  <si>
    <t>Kingbright</t>
  </si>
  <si>
    <t>WP59SURKSGW</t>
  </si>
  <si>
    <t>754-1548-ND</t>
  </si>
  <si>
    <t>Power module (12 v to 5v DC/DC)</t>
  </si>
  <si>
    <t>Traco Power</t>
  </si>
  <si>
    <t>TEA 1-0505</t>
  </si>
  <si>
    <t>1951-TEA1-0505-ND</t>
  </si>
  <si>
    <t>Audio jack port</t>
  </si>
  <si>
    <t>Kycon, Inc.</t>
  </si>
  <si>
    <t>STX-3000</t>
  </si>
  <si>
    <t>2092-STX-3000-ND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</si>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</sst>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0.0"/>
      <color rgb="FF000000"/>
      <name val="Arial"/>
      <scheme val="minor"/>
    </font>
    <font>
      <sz val="12.0"/>
      <color theme="1"/>
      <name val="Times New Roman"/>
    </font>
    <font>
      <color theme="1"/>
      <name val="Times New Roman"/>
    </font>
    <font>
      <sz val="12.0"/>
      <color rgb="FF000000"/>
      <name val="Times New Roman"/>
    </font>
    <font>
      <b/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2" fontId="3" numFmtId="0" xfId="0" applyAlignment="1" applyFill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Sheet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1:H11" displayName="Table1" name="Table1" id="1">
  <tableColumns count="8">
    <tableColumn totalsRowLabel="Total" name="Part Description" id="1"/>
    <tableColumn name="Manufacturer" id="2"/>
    <tableColumn name="Manufacturer part Number" id="3"/>
    <tableColumn name="Vendor" id="4"/>
    <tableColumn name="Vendor part Number" id="5"/>
    <tableColumn name="Qty" id="6"/>
    <tableColumn totalsRowFunction="custom" name="Unit cost" id="7"/>
    <tableColumn totalsRowFunction="custom" name="Total Cost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38"/>
    <col customWidth="1" min="2" max="2" width="21.63"/>
    <col customWidth="1" min="3" max="3" width="29.88"/>
    <col customWidth="1" min="4" max="4" width="11.13"/>
    <col customWidth="1" min="5" max="5" width="26.88"/>
    <col customWidth="1" min="6" max="6" width="8.5"/>
    <col customWidth="1" min="7" max="7" width="12.75"/>
    <col customWidth="1" min="8" max="8" width="13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 t="s">
        <v>8</v>
      </c>
      <c r="K1" s="2"/>
      <c r="L1" s="2"/>
      <c r="M1" s="2"/>
      <c r="N1" s="2"/>
      <c r="O1" s="2"/>
      <c r="P1" s="2"/>
      <c r="Q1" s="2"/>
    </row>
    <row r="2" ht="22.5" customHeight="1">
      <c r="A2" s="4" t="s">
        <v>9</v>
      </c>
      <c r="B2" s="5" t="s">
        <v>10</v>
      </c>
      <c r="C2" s="4" t="s">
        <v>11</v>
      </c>
      <c r="D2" s="4" t="s">
        <v>12</v>
      </c>
      <c r="E2" s="4" t="s">
        <v>13</v>
      </c>
      <c r="F2" s="4">
        <v>1.0</v>
      </c>
      <c r="G2" s="4">
        <v>24.86</v>
      </c>
      <c r="H2" s="4">
        <f t="shared" ref="H2:H10" si="1">G2*F2</f>
        <v>24.86</v>
      </c>
      <c r="I2" s="2"/>
      <c r="J2" s="2"/>
      <c r="K2" s="2"/>
      <c r="L2" s="2"/>
      <c r="M2" s="2"/>
      <c r="N2" s="2"/>
      <c r="O2" s="2"/>
      <c r="P2" s="2"/>
      <c r="Q2" s="2"/>
    </row>
    <row r="3" ht="22.5" customHeight="1">
      <c r="A3" s="4" t="s">
        <v>14</v>
      </c>
      <c r="B3" s="4" t="s">
        <v>15</v>
      </c>
      <c r="C3" s="4" t="s">
        <v>16</v>
      </c>
      <c r="D3" s="4" t="s">
        <v>12</v>
      </c>
      <c r="E3" s="4" t="s">
        <v>17</v>
      </c>
      <c r="F3" s="4">
        <v>1.0</v>
      </c>
      <c r="G3" s="4">
        <v>2.93</v>
      </c>
      <c r="H3" s="4">
        <f t="shared" si="1"/>
        <v>2.93</v>
      </c>
      <c r="I3" s="2"/>
      <c r="J3" s="2"/>
      <c r="K3" s="2"/>
      <c r="L3" s="2"/>
      <c r="M3" s="2"/>
      <c r="N3" s="2"/>
      <c r="O3" s="2"/>
      <c r="P3" s="2"/>
      <c r="Q3" s="2"/>
    </row>
    <row r="4" ht="22.5" customHeight="1">
      <c r="A4" s="4" t="s">
        <v>18</v>
      </c>
      <c r="B4" s="4" t="s">
        <v>19</v>
      </c>
      <c r="C4" s="4" t="s">
        <v>20</v>
      </c>
      <c r="D4" s="4" t="s">
        <v>12</v>
      </c>
      <c r="E4" s="4" t="s">
        <v>21</v>
      </c>
      <c r="F4" s="4">
        <v>3.0</v>
      </c>
      <c r="G4" s="4">
        <v>0.98</v>
      </c>
      <c r="H4" s="4">
        <f t="shared" si="1"/>
        <v>2.94</v>
      </c>
      <c r="I4" s="2"/>
      <c r="J4" s="2"/>
      <c r="K4" s="2"/>
      <c r="L4" s="2"/>
      <c r="M4" s="2"/>
      <c r="N4" s="2"/>
      <c r="O4" s="2"/>
      <c r="P4" s="2"/>
      <c r="Q4" s="2"/>
    </row>
    <row r="5" ht="22.5" customHeight="1">
      <c r="A5" s="4" t="s">
        <v>22</v>
      </c>
      <c r="B5" s="4" t="s">
        <v>23</v>
      </c>
      <c r="C5" s="4" t="s">
        <v>24</v>
      </c>
      <c r="D5" s="4" t="s">
        <v>12</v>
      </c>
      <c r="E5" s="4" t="s">
        <v>25</v>
      </c>
      <c r="F5" s="4">
        <v>1.0</v>
      </c>
      <c r="G5" s="4">
        <v>0.71</v>
      </c>
      <c r="H5" s="4">
        <f t="shared" si="1"/>
        <v>0.71</v>
      </c>
      <c r="I5" s="2"/>
      <c r="J5" s="2"/>
      <c r="K5" s="2"/>
      <c r="L5" s="2"/>
      <c r="M5" s="2"/>
      <c r="N5" s="2"/>
      <c r="O5" s="2"/>
      <c r="P5" s="2"/>
      <c r="Q5" s="2"/>
    </row>
    <row r="6" ht="22.5" customHeight="1">
      <c r="A6" s="4" t="s">
        <v>26</v>
      </c>
      <c r="B6" s="4" t="s">
        <v>27</v>
      </c>
      <c r="C6" s="4" t="s">
        <v>28</v>
      </c>
      <c r="D6" s="4" t="s">
        <v>12</v>
      </c>
      <c r="E6" s="4" t="s">
        <v>29</v>
      </c>
      <c r="F6" s="4">
        <v>1.0</v>
      </c>
      <c r="G6" s="4">
        <v>1.02</v>
      </c>
      <c r="H6" s="4">
        <f t="shared" si="1"/>
        <v>1.02</v>
      </c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30</v>
      </c>
      <c r="B7" s="4" t="s">
        <v>27</v>
      </c>
      <c r="C7" s="4" t="s">
        <v>31</v>
      </c>
      <c r="D7" s="4" t="s">
        <v>12</v>
      </c>
      <c r="E7" s="4" t="s">
        <v>32</v>
      </c>
      <c r="F7" s="4">
        <v>1.0</v>
      </c>
      <c r="G7" s="4">
        <v>1.96</v>
      </c>
      <c r="H7" s="4">
        <f t="shared" si="1"/>
        <v>1.96</v>
      </c>
      <c r="I7" s="2"/>
      <c r="J7" s="2"/>
      <c r="K7" s="2"/>
      <c r="L7" s="2"/>
      <c r="M7" s="2"/>
      <c r="N7" s="2"/>
      <c r="O7" s="2"/>
      <c r="P7" s="2"/>
      <c r="Q7" s="2"/>
    </row>
    <row r="8" ht="22.5" customHeight="1">
      <c r="A8" s="6" t="s">
        <v>33</v>
      </c>
      <c r="B8" s="4" t="s">
        <v>34</v>
      </c>
      <c r="C8" s="4" t="s">
        <v>35</v>
      </c>
      <c r="D8" s="4" t="s">
        <v>12</v>
      </c>
      <c r="E8" s="4" t="s">
        <v>36</v>
      </c>
      <c r="F8" s="4">
        <v>2.0</v>
      </c>
      <c r="G8" s="4">
        <v>0.51</v>
      </c>
      <c r="H8" s="4">
        <f t="shared" si="1"/>
        <v>1.02</v>
      </c>
      <c r="I8" s="2"/>
      <c r="J8" s="2"/>
      <c r="K8" s="2"/>
      <c r="L8" s="2"/>
      <c r="M8" s="2"/>
      <c r="N8" s="2"/>
      <c r="O8" s="2"/>
      <c r="P8" s="2"/>
      <c r="Q8" s="2"/>
    </row>
    <row r="9" ht="22.5" customHeight="1">
      <c r="A9" s="4" t="s">
        <v>37</v>
      </c>
      <c r="B9" s="4" t="s">
        <v>38</v>
      </c>
      <c r="C9" s="4" t="s">
        <v>39</v>
      </c>
      <c r="D9" s="4" t="s">
        <v>12</v>
      </c>
      <c r="E9" s="4" t="s">
        <v>40</v>
      </c>
      <c r="F9" s="4">
        <v>1.0</v>
      </c>
      <c r="G9" s="4">
        <v>1.65</v>
      </c>
      <c r="H9" s="4">
        <f t="shared" si="1"/>
        <v>1.65</v>
      </c>
      <c r="I9" s="2"/>
      <c r="J9" s="2"/>
      <c r="K9" s="2"/>
      <c r="L9" s="2"/>
      <c r="M9" s="2"/>
      <c r="N9" s="2"/>
      <c r="O9" s="2"/>
      <c r="P9" s="2"/>
      <c r="Q9" s="2"/>
    </row>
    <row r="10" ht="22.5" customHeight="1">
      <c r="A10" s="4" t="s">
        <v>41</v>
      </c>
      <c r="B10" s="4" t="s">
        <v>42</v>
      </c>
      <c r="C10" s="4" t="s">
        <v>43</v>
      </c>
      <c r="D10" s="4" t="s">
        <v>12</v>
      </c>
      <c r="E10" s="4" t="s">
        <v>44</v>
      </c>
      <c r="F10" s="4">
        <v>1.0</v>
      </c>
      <c r="G10" s="4">
        <v>0.64</v>
      </c>
      <c r="H10" s="4">
        <f t="shared" si="1"/>
        <v>0.64</v>
      </c>
      <c r="I10" s="2"/>
      <c r="J10" s="2"/>
      <c r="K10" s="2"/>
      <c r="L10" s="2"/>
      <c r="M10" s="2"/>
      <c r="N10" s="2"/>
      <c r="O10" s="2"/>
      <c r="P10" s="2"/>
      <c r="Q10" s="2"/>
    </row>
    <row r="11" ht="22.5" customHeight="1">
      <c r="A11" s="7" t="s">
        <v>45</v>
      </c>
      <c r="B11" s="8"/>
      <c r="C11" s="8"/>
      <c r="D11" s="8"/>
      <c r="E11" s="8"/>
      <c r="F11" s="8"/>
      <c r="G11" s="8">
        <f>SUM(Table1[Unit cost])</f>
        <v>35.26</v>
      </c>
      <c r="H11" s="9">
        <f>sum(Table1[Total Cost])</f>
        <v>37.73</v>
      </c>
      <c r="I11" s="2"/>
      <c r="J11" s="2"/>
      <c r="K11" s="2"/>
      <c r="L11" s="2"/>
      <c r="M11" s="2"/>
      <c r="N11" s="2"/>
      <c r="O11" s="2"/>
      <c r="P11" s="2"/>
      <c r="Q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>
      <c r="A15" s="2"/>
      <c r="B15" s="2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</sheetData>
  <drawing r:id="rId1"/>
  <tableParts count="1">
    <tablePart r:id="rId3"/>
  </tableParts>
</worksheet>
</file>